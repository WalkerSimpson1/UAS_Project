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ker\Desktop\UAS\"/>
    </mc:Choice>
  </mc:AlternateContent>
  <xr:revisionPtr revIDLastSave="0" documentId="13_ncr:1_{EF14273C-CFAB-46E5-8307-E32292B22EC1}" xr6:coauthVersionLast="47" xr6:coauthVersionMax="47" xr10:uidLastSave="{00000000-0000-0000-0000-000000000000}"/>
  <bookViews>
    <workbookView xWindow="-98" yWindow="-98" windowWidth="21795" windowHeight="12975" xr2:uid="{44114BAD-06B8-4444-ABC0-4FDAD62B71B7}"/>
  </bookViews>
  <sheets>
    <sheet name="Master Sheet" sheetId="1" r:id="rId1"/>
    <sheet name="BVLOS Sheet" sheetId="2" r:id="rId2"/>
    <sheet name="Federal restrictions" sheetId="3" r:id="rId3"/>
    <sheet name="Import Marketing" sheetId="4" r:id="rId4"/>
    <sheet name="NDA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6" l="1"/>
  <c r="N2" i="6"/>
  <c r="N6" i="4"/>
  <c r="N5" i="4"/>
  <c r="N4" i="4"/>
  <c r="N3" i="4"/>
  <c r="N2" i="4"/>
  <c r="N5" i="3"/>
  <c r="N4" i="3"/>
  <c r="N3" i="3"/>
  <c r="N2" i="3"/>
  <c r="N5" i="2"/>
  <c r="N4" i="2"/>
  <c r="N3" i="2"/>
  <c r="N2" i="2"/>
  <c r="N16" i="1"/>
  <c r="N15" i="1"/>
  <c r="N14" i="1"/>
  <c r="N13" i="1"/>
  <c r="N12" i="1"/>
  <c r="N10" i="1"/>
  <c r="N11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<sst xmlns="http://schemas.openxmlformats.org/spreadsheetml/2006/main" count="430" uniqueCount="133">
  <si>
    <t>id</t>
  </si>
  <si>
    <t>sequence</t>
  </si>
  <si>
    <t>category</t>
  </si>
  <si>
    <t>item</t>
  </si>
  <si>
    <t>gov identifier</t>
  </si>
  <si>
    <t>body</t>
  </si>
  <si>
    <t>status</t>
  </si>
  <si>
    <t>track</t>
  </si>
  <si>
    <t>source_url</t>
  </si>
  <si>
    <t>A1</t>
  </si>
  <si>
    <t>BVLOS Rulemaking</t>
  </si>
  <si>
    <t>A2</t>
  </si>
  <si>
    <t>A3</t>
  </si>
  <si>
    <t>A4</t>
  </si>
  <si>
    <t>FAA Reauthorization Act of 2024</t>
  </si>
  <si>
    <t>FAA Reauthorization Act of 2024, sec. 930</t>
  </si>
  <si>
    <t>Unleashing American Drone Dominance</t>
  </si>
  <si>
    <t>Executive Order 14307</t>
  </si>
  <si>
    <t>Normalizing UAS Beyond Visual Line of Sight Operations</t>
  </si>
  <si>
    <t>Docket FAA-2025-1908 / RIN 2120-AL82 / 90 FR 38212</t>
  </si>
  <si>
    <t xml:space="preserve">Part 108 Final Rule </t>
  </si>
  <si>
    <t>RIN 2120-AL82</t>
  </si>
  <si>
    <t>Legislation</t>
  </si>
  <si>
    <t>Rulemaking</t>
  </si>
  <si>
    <t>Congress</t>
  </si>
  <si>
    <t>President</t>
  </si>
  <si>
    <t>FAA</t>
  </si>
  <si>
    <t>Enacted</t>
  </si>
  <si>
    <t>In force</t>
  </si>
  <si>
    <t>Proposed - Comments closed</t>
  </si>
  <si>
    <t>Not Published</t>
  </si>
  <si>
    <t>The final rule deadline it set</t>
  </si>
  <si>
    <t>Signed</t>
  </si>
  <si>
    <t>Published</t>
  </si>
  <si>
    <t>Proposed 14 CFR Part 108. Roughly 3,100 comments</t>
  </si>
  <si>
    <r>
      <t xml:space="preserve">Directed the FAA BVLOS final rule within 240 days "as appropriate". </t>
    </r>
    <r>
      <rPr>
        <b/>
        <sz val="11"/>
        <color theme="1"/>
        <rFont val="Aptos Narrow"/>
        <family val="2"/>
        <scheme val="minor"/>
      </rPr>
      <t>That light deadline has also passed.</t>
    </r>
  </si>
  <si>
    <t>Would create Part 108, replacing Part 107's case-by-case FAA granted BVLOS waivers with a universal BVLOS framework.</t>
  </si>
  <si>
    <t>Commercial</t>
  </si>
  <si>
    <t>https://www.federalregister.gov/documents/2025/06/11/2025-10814/unleashing-american-drone-dominance</t>
  </si>
  <si>
    <t>https://www.federalregister.gov/documents/2025/08/07/2025-14992/normalizing-unmanned-aircraft-systems-beyond-visual-line-of-sight-operations</t>
  </si>
  <si>
    <t>https://www.reginfo.gov/public/do/eAgendaViewRule?pubId=202510&amp;RIN=2120-AL82</t>
  </si>
  <si>
    <t>Part 108 Rule Status</t>
  </si>
  <si>
    <t>B1</t>
  </si>
  <si>
    <t>B2</t>
  </si>
  <si>
    <t>B3</t>
  </si>
  <si>
    <t>B4</t>
  </si>
  <si>
    <t>Federal foreign procurement restrictions</t>
  </si>
  <si>
    <t>Regulation</t>
  </si>
  <si>
    <t>American Security Drone Act of 2023</t>
  </si>
  <si>
    <t>Prohibition on UAS From Covered Foreign Entities</t>
  </si>
  <si>
    <t>FAR final rule</t>
  </si>
  <si>
    <t>Security Prohibitions and Exclusions</t>
  </si>
  <si>
    <t>S.473 (118th) / P.L. 118-31 secs. 1821-1826</t>
  </si>
  <si>
    <t>Docket FAR-2024-0002 / RIN 9000-AO70 / 89 FR 89464</t>
  </si>
  <si>
    <t>FAR Case 2024-002</t>
  </si>
  <si>
    <t>48 CFR 40.202 / clause 52.240-1</t>
  </si>
  <si>
    <t>DoD, GSA, NASA</t>
  </si>
  <si>
    <t>FAR Council</t>
  </si>
  <si>
    <t>Interim rule</t>
  </si>
  <si>
    <t>Effective date</t>
  </si>
  <si>
    <t>Bars federal procurement and operation of drones from mentioned foreign entities. Enacted inside NDAA of Fiscal Year 2024.</t>
  </si>
  <si>
    <t>Implemented the ASDA for contracting officers. Explicitly does not reach drone part suppliers.</t>
  </si>
  <si>
    <t>Would add the FASC definition of "associated elements," (drone parts) deferred from the interim rule. Interim rule has stood unfinalized since November 2024.</t>
  </si>
  <si>
    <t>Military</t>
  </si>
  <si>
    <t>link_display_name</t>
  </si>
  <si>
    <t>https://www.congress.gov/bill/118th-congress/senate-bill/473?hl=American+Security+Drone+Act&amp;s=3&amp;r=2</t>
  </si>
  <si>
    <t>https://www.ecfr.gov/current/title-48/chapter-1/subchapter-H/part-52/subpart-52.2/section-52.240-1</t>
  </si>
  <si>
    <t>https://www.federalregister.gov/documents/search?conditions%5Bsearch_type_id%5D=3&amp;conditions%5Bterm%5D=9000-AO70</t>
  </si>
  <si>
    <t>C1</t>
  </si>
  <si>
    <t>C2</t>
  </si>
  <si>
    <t>C3</t>
  </si>
  <si>
    <t>C4</t>
  </si>
  <si>
    <t>D1</t>
  </si>
  <si>
    <t>D2</t>
  </si>
  <si>
    <t>Import and marketing restrictions</t>
  </si>
  <si>
    <t>NDAA FY2025 sec. 1709</t>
  </si>
  <si>
    <t>Sec. 1709</t>
  </si>
  <si>
    <t>Prohibition (interim or finalized rule) expiry date</t>
  </si>
  <si>
    <t>Last action on federal register- Comment deadline extended from Jan 13. 2025 to Jan 27. 2025</t>
  </si>
  <si>
    <t>Both</t>
  </si>
  <si>
    <t>FCC</t>
  </si>
  <si>
    <t>FCC Covered List</t>
  </si>
  <si>
    <t>Covered List addition - foreign-produced UAS and components</t>
  </si>
  <si>
    <t>Date of when items were added to the covered list</t>
  </si>
  <si>
    <t>No new authorizations of foreign made drones or drone components, but active authorizations not affected</t>
  </si>
  <si>
    <t>Prohibiting Importation and Marketing of Military-Grade Foreign UAS</t>
  </si>
  <si>
    <t>PS Docket 26-189 / DA 26-758 / 91 FR 48870</t>
  </si>
  <si>
    <t>Prohibiting Importation and Marketing of Sec. 1709 Equipment (Anzu)</t>
  </si>
  <si>
    <t>Proposes prohibiting import and marketing of all authorized foreign UAS that qualify as military grade - see under "scope"</t>
  </si>
  <si>
    <t>FCC establishing that US inc. company (Anzu) falls under the FCC covered list because of its foreign (malaysia) licensing and production agreement</t>
  </si>
  <si>
    <t>C5</t>
  </si>
  <si>
    <t>90 FR 53227</t>
  </si>
  <si>
    <t>https://www.federalregister.gov/documents/2025/11/25/2025-21001/protecting-against-national-security-threats-to-the-communications-supply-chain-through-the</t>
  </si>
  <si>
    <t>Protecting Against National Security Threats to the Communications Supply Chain Through the Equipment Authorization Program</t>
  </si>
  <si>
    <t>Final rule</t>
  </si>
  <si>
    <t>Allows for the prohibition of authorized covered-list equipment without revoking authorization, and broadened "produced by" to include design and assembly rather than purely manufacturing</t>
  </si>
  <si>
    <t>Became public law</t>
  </si>
  <si>
    <t>https://www.congress.gov/bill/118th-congress/house-bill/5009?hl=Servicemember+Quality+of+Life+Improvement+and+National+Defense+Authorization+Act+for+Fiscal+Year+2025&amp;s=1&amp;r=5</t>
  </si>
  <si>
    <t>https://www.fcc.gov/covered-list-faqs-uas-and-uas-critical-components</t>
  </si>
  <si>
    <t>https://www.federalregister.gov/documents/2026/08/03/2026-15659/seeking-comment-on-prohibiting-the-importation-and-marketing-of-certain-foreign-produced</t>
  </si>
  <si>
    <t>https://www.federalregister.gov/documents/2026/08/24/2026-17193/comment-sought-on-prohibiting-the-importation-and-marketing-of-certain-covered-uas-and-uas-critical</t>
  </si>
  <si>
    <t>Defense authorization FY2027</t>
  </si>
  <si>
    <t>National Defense Authorization Act FY2027 (Senate)</t>
  </si>
  <si>
    <t>National Defense Authorization Act FY2027 (House)</t>
  </si>
  <si>
    <t>S.4784 / S. Rept. 119-127</t>
  </si>
  <si>
    <t>H.R.8800 / H. Rept. 119-698</t>
  </si>
  <si>
    <t>House Armed Services</t>
  </si>
  <si>
    <t>Senate Armed Services</t>
  </si>
  <si>
    <t>UAS provisions unreconciled with House text. Could expand covered entities, alter counter-UAS authority, or move the ASDA sunset.</t>
  </si>
  <si>
    <t>UAS provisions unreconciled with Senate text. Conference outcome determines which vehicle governs.</t>
  </si>
  <si>
    <t>https://www.congress.gov/bill/119th-congress/senate-bill/4784?hl=S.4784&amp;s=2&amp;r=1</t>
  </si>
  <si>
    <t>https://www.congress.gov/bill/119th-congress/house-bill/8800?hl=H.R.8800&amp;s=3&amp;r=1</t>
  </si>
  <si>
    <t>PS Docket 26-184 / DA 26-832 / 91 FR 54713</t>
  </si>
  <si>
    <t>Outlines specific foreign UAS equipment and production entities for the FCC to add to their covered list - specifics avaliable here https://www.fcc.gov/covered-list-faqs-uas-and-uas-critical-components</t>
  </si>
  <si>
    <t>https://www.federalregister.gov/documents/2024/11/12/2024-26061/federal-acquisition-regulation-prohibition-on-unmanned-aircraft-systems-from-covered-foreign</t>
  </si>
  <si>
    <t>https://www.congress.gov/bill/118th-congress/house-bill/3935?hl=118PL63&amp;s=5&amp;r=1</t>
  </si>
  <si>
    <t>H.R.3935 / P.L. 118-63 sec. 930</t>
  </si>
  <si>
    <t>Section 930 required an BVLOS NPRM within 4 months of enactment. FAA published it eleven months late. The final rule is due 16 months after that publication, so Dec 2026.</t>
  </si>
  <si>
    <t>FAA self-projected date (passed)</t>
  </si>
  <si>
    <t>Operation and federal-funds bans in force since Dec 2025. Authority expires Dec 2028 under sec. 1833 unless Congress acts.</t>
  </si>
  <si>
    <t>Link</t>
  </si>
  <si>
    <t>In Force</t>
  </si>
  <si>
    <t xml:space="preserve">Comments Open  </t>
  </si>
  <si>
    <t>Passed</t>
  </si>
  <si>
    <t>Reported</t>
  </si>
  <si>
    <t>Latest action - motion to proceed</t>
  </si>
  <si>
    <t>Latest action - passed house</t>
  </si>
  <si>
    <t>Date of proposal (comments until sep 2)</t>
  </si>
  <si>
    <t>Date of proposal (comments until sep 27)</t>
  </si>
  <si>
    <t>In Force via interim rule</t>
  </si>
  <si>
    <t>key date</t>
  </si>
  <si>
    <t>key date meaning</t>
  </si>
  <si>
    <t>impact /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</si>
</sst>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38BB-B896-4796-8564-5CDDA86CD0B7}">
  <dimension ref="A1:N16"/>
  <sheetViews>
    <sheetView tabSelected="1" workbookViewId="0">
      <selection activeCell="J14" sqref="J14"/>
    </sheetView>
  </sheetViews>
  <sheetFormatPr defaultRowHeight="14.25" x14ac:dyDescent="0.45"/>
  <cols>
    <col min="2" max="2" width="15.46484375" bestFit="1" customWidth="1"/>
    <col min="3" max="3" width="9.86328125" bestFit="1" customWidth="1"/>
    <col min="4" max="4" width="33.33203125" bestFit="1" customWidth="1"/>
    <col min="5" max="5" width="18.3984375" bestFit="1" customWidth="1"/>
    <col min="8" max="8" width="9.9296875" bestFit="1" customWidth="1"/>
    <col min="9" max="9" width="22" bestFit="1" customWidth="1"/>
    <col min="10" max="10" width="16.59765625" bestFit="1" customWidth="1"/>
    <col min="11" max="11" width="10.332031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  <c r="K1" t="s">
        <v>7</v>
      </c>
      <c r="L1" t="s">
        <v>64</v>
      </c>
      <c r="M1" t="s">
        <v>8</v>
      </c>
      <c r="N1" t="s">
        <v>120</v>
      </c>
    </row>
    <row r="2" spans="1:14" x14ac:dyDescent="0.45">
      <c r="A2" t="s">
        <v>9</v>
      </c>
      <c r="B2" t="s">
        <v>10</v>
      </c>
      <c r="C2" t="s">
        <v>22</v>
      </c>
      <c r="D2" t="s">
        <v>15</v>
      </c>
      <c r="E2" s="1" t="s">
        <v>116</v>
      </c>
      <c r="F2" t="s">
        <v>24</v>
      </c>
      <c r="G2" t="s">
        <v>27</v>
      </c>
      <c r="H2" s="2">
        <v>46363</v>
      </c>
      <c r="I2" t="s">
        <v>31</v>
      </c>
      <c r="J2" t="s">
        <v>117</v>
      </c>
      <c r="K2" t="s">
        <v>37</v>
      </c>
      <c r="L2" t="s">
        <v>14</v>
      </c>
      <c r="M2" t="s">
        <v>115</v>
      </c>
      <c r="N2" t="str">
        <f t="shared" ref="N2:N16" si="0">IF(M2&lt;&gt;"","["&amp;L2&amp;"]("&amp;M2&amp;")",L2)</f>
        <v>[FAA Reauthorization Act of 2024](https://www.congress.gov/bill/118th-congress/house-bill/3935?hl=118PL63&amp;s=5&amp;r=1)</v>
      </c>
    </row>
    <row r="3" spans="1:14" x14ac:dyDescent="0.45">
      <c r="A3" t="s">
        <v>11</v>
      </c>
      <c r="B3" t="s">
        <v>10</v>
      </c>
      <c r="C3" t="s">
        <v>22</v>
      </c>
      <c r="D3" t="s">
        <v>16</v>
      </c>
      <c r="E3" t="s">
        <v>17</v>
      </c>
      <c r="F3" t="s">
        <v>25</v>
      </c>
      <c r="G3" t="s">
        <v>28</v>
      </c>
      <c r="H3" s="2">
        <v>45814</v>
      </c>
      <c r="I3" t="s">
        <v>32</v>
      </c>
      <c r="J3" t="s">
        <v>35</v>
      </c>
      <c r="K3" t="s">
        <v>37</v>
      </c>
      <c r="L3" t="s">
        <v>17</v>
      </c>
      <c r="M3" t="s">
        <v>38</v>
      </c>
      <c r="N3" t="str">
        <f t="shared" si="0"/>
        <v>[Executive Order 14307](https://www.federalregister.gov/documents/2025/06/11/2025-10814/unleashing-american-drone-dominance)</v>
      </c>
    </row>
    <row r="4" spans="1:14" x14ac:dyDescent="0.45">
      <c r="A4" t="s">
        <v>12</v>
      </c>
      <c r="B4" t="s">
        <v>10</v>
      </c>
      <c r="C4" t="s">
        <v>23</v>
      </c>
      <c r="D4" t="s">
        <v>18</v>
      </c>
      <c r="E4" t="s">
        <v>19</v>
      </c>
      <c r="F4" t="s">
        <v>26</v>
      </c>
      <c r="G4" t="s">
        <v>29</v>
      </c>
      <c r="H4" s="2">
        <v>45876</v>
      </c>
      <c r="I4" t="s">
        <v>33</v>
      </c>
      <c r="J4" t="s">
        <v>34</v>
      </c>
      <c r="K4" t="s">
        <v>37</v>
      </c>
      <c r="L4" t="s">
        <v>18</v>
      </c>
      <c r="M4" t="s">
        <v>39</v>
      </c>
      <c r="N4" t="str">
        <f t="shared" si="0"/>
        <v>[Normalizing UAS Beyond Visual Line of Sight Operations](https://www.federalregister.gov/documents/2025/08/07/2025-14992/normalizing-unmanned-aircraft-systems-beyond-visual-line-of-sight-operations)</v>
      </c>
    </row>
    <row r="5" spans="1:14" x14ac:dyDescent="0.45">
      <c r="A5" t="s">
        <v>13</v>
      </c>
      <c r="B5" t="s">
        <v>10</v>
      </c>
      <c r="C5" t="s">
        <v>23</v>
      </c>
      <c r="D5" t="s">
        <v>20</v>
      </c>
      <c r="E5" t="s">
        <v>21</v>
      </c>
      <c r="F5" t="s">
        <v>26</v>
      </c>
      <c r="G5" t="s">
        <v>30</v>
      </c>
      <c r="H5" s="2">
        <v>46204</v>
      </c>
      <c r="I5" t="s">
        <v>118</v>
      </c>
      <c r="J5" t="s">
        <v>36</v>
      </c>
      <c r="K5" t="s">
        <v>37</v>
      </c>
      <c r="L5" t="s">
        <v>41</v>
      </c>
      <c r="M5" t="s">
        <v>40</v>
      </c>
      <c r="N5" t="str">
        <f t="shared" si="0"/>
        <v>[Part 108 Rule Status](https://www.reginfo.gov/public/do/eAgendaViewRule?pubId=202510&amp;RIN=2120-AL82)</v>
      </c>
    </row>
    <row r="6" spans="1:14" x14ac:dyDescent="0.45">
      <c r="A6" t="s">
        <v>42</v>
      </c>
      <c r="B6" t="s">
        <v>46</v>
      </c>
      <c r="C6" t="s">
        <v>22</v>
      </c>
      <c r="D6" t="s">
        <v>48</v>
      </c>
      <c r="E6" t="s">
        <v>52</v>
      </c>
      <c r="F6" t="s">
        <v>24</v>
      </c>
      <c r="G6" t="s">
        <v>27</v>
      </c>
      <c r="H6" s="2">
        <v>45282</v>
      </c>
      <c r="I6" t="s">
        <v>27</v>
      </c>
      <c r="J6" t="s">
        <v>60</v>
      </c>
      <c r="K6" t="s">
        <v>63</v>
      </c>
      <c r="L6" t="s">
        <v>48</v>
      </c>
      <c r="M6" t="s">
        <v>65</v>
      </c>
      <c r="N6" t="str">
        <f t="shared" si="0"/>
        <v>[American Security Drone Act of 2023](https://www.congress.gov/bill/118th-congress/senate-bill/473?hl=American+Security+Drone+Act&amp;s=3&amp;r=2)</v>
      </c>
    </row>
    <row r="7" spans="1:14" x14ac:dyDescent="0.45">
      <c r="A7" t="s">
        <v>43</v>
      </c>
      <c r="B7" t="s">
        <v>46</v>
      </c>
      <c r="C7" t="s">
        <v>23</v>
      </c>
      <c r="D7" t="s">
        <v>49</v>
      </c>
      <c r="E7" t="s">
        <v>53</v>
      </c>
      <c r="F7" t="s">
        <v>56</v>
      </c>
      <c r="G7" t="s">
        <v>58</v>
      </c>
      <c r="H7" s="2">
        <v>45608</v>
      </c>
      <c r="I7" t="s">
        <v>59</v>
      </c>
      <c r="J7" t="s">
        <v>61</v>
      </c>
      <c r="K7" t="s">
        <v>63</v>
      </c>
      <c r="L7" t="s">
        <v>49</v>
      </c>
      <c r="M7" t="s">
        <v>114</v>
      </c>
      <c r="N7" t="str">
        <f t="shared" si="0"/>
        <v>[Prohibition on UAS From Covered Foreign Entities](https://www.federalregister.gov/documents/2024/11/12/2024-26061/federal-acquisition-regulation-prohibition-on-unmanned-aircraft-systems-from-covered-foreign)</v>
      </c>
    </row>
    <row r="8" spans="1:14" x14ac:dyDescent="0.45">
      <c r="A8" t="s">
        <v>44</v>
      </c>
      <c r="B8" t="s">
        <v>46</v>
      </c>
      <c r="C8" t="s">
        <v>23</v>
      </c>
      <c r="D8" t="s">
        <v>50</v>
      </c>
      <c r="E8" t="s">
        <v>54</v>
      </c>
      <c r="F8" t="s">
        <v>56</v>
      </c>
      <c r="G8" t="s">
        <v>30</v>
      </c>
      <c r="H8" s="2">
        <v>45656</v>
      </c>
      <c r="I8" t="s">
        <v>78</v>
      </c>
      <c r="J8" t="s">
        <v>62</v>
      </c>
      <c r="K8" t="s">
        <v>63</v>
      </c>
      <c r="L8" t="s">
        <v>50</v>
      </c>
      <c r="M8" t="s">
        <v>67</v>
      </c>
      <c r="N8" t="str">
        <f t="shared" si="0"/>
        <v>[FAR final rule](https://www.federalregister.gov/documents/search?conditions%5Bsearch_type_id%5D=3&amp;conditions%5Bterm%5D=9000-AO70)</v>
      </c>
    </row>
    <row r="9" spans="1:14" x14ac:dyDescent="0.45">
      <c r="A9" t="s">
        <v>45</v>
      </c>
      <c r="B9" t="s">
        <v>46</v>
      </c>
      <c r="C9" t="s">
        <v>47</v>
      </c>
      <c r="D9" t="s">
        <v>51</v>
      </c>
      <c r="E9" t="s">
        <v>55</v>
      </c>
      <c r="F9" t="s">
        <v>57</v>
      </c>
      <c r="G9" t="s">
        <v>129</v>
      </c>
      <c r="H9" s="2">
        <v>47109</v>
      </c>
      <c r="I9" t="s">
        <v>77</v>
      </c>
      <c r="J9" t="s">
        <v>119</v>
      </c>
      <c r="K9" t="s">
        <v>63</v>
      </c>
      <c r="L9" t="s">
        <v>51</v>
      </c>
      <c r="M9" t="s">
        <v>66</v>
      </c>
      <c r="N9" t="str">
        <f t="shared" si="0"/>
        <v>[Security Prohibitions and Exclusions](https://www.ecfr.gov/current/title-48/chapter-1/subchapter-H/part-52/subpart-52.2/section-52.240-1)</v>
      </c>
    </row>
    <row r="10" spans="1:14" x14ac:dyDescent="0.45">
      <c r="A10" t="s">
        <v>68</v>
      </c>
      <c r="B10" t="s">
        <v>74</v>
      </c>
      <c r="C10" t="s">
        <v>22</v>
      </c>
      <c r="D10" t="s">
        <v>75</v>
      </c>
      <c r="E10" t="s">
        <v>76</v>
      </c>
      <c r="F10" t="s">
        <v>24</v>
      </c>
      <c r="G10" t="s">
        <v>27</v>
      </c>
      <c r="H10" s="2">
        <v>45649</v>
      </c>
      <c r="I10" t="s">
        <v>96</v>
      </c>
      <c r="J10" t="s">
        <v>113</v>
      </c>
      <c r="K10" t="s">
        <v>79</v>
      </c>
      <c r="L10" t="s">
        <v>75</v>
      </c>
      <c r="M10" t="s">
        <v>97</v>
      </c>
      <c r="N10" t="str">
        <f t="shared" si="0"/>
        <v>[NDAA FY2025 sec. 1709](https://www.congress.gov/bill/118th-congress/house-bill/5009?hl=Servicemember+Quality+of+Life+Improvement+and+National+Defense+Authorization+Act+for+Fiscal+Year+2025&amp;s=1&amp;r=5)</v>
      </c>
    </row>
    <row r="11" spans="1:14" x14ac:dyDescent="0.45">
      <c r="A11" t="s">
        <v>69</v>
      </c>
      <c r="B11" t="s">
        <v>74</v>
      </c>
      <c r="C11" t="s">
        <v>23</v>
      </c>
      <c r="D11" t="s">
        <v>93</v>
      </c>
      <c r="E11" t="s">
        <v>91</v>
      </c>
      <c r="F11" t="s">
        <v>80</v>
      </c>
      <c r="G11" t="s">
        <v>94</v>
      </c>
      <c r="H11" s="2">
        <v>46017</v>
      </c>
      <c r="I11" t="s">
        <v>59</v>
      </c>
      <c r="J11" t="s">
        <v>95</v>
      </c>
      <c r="K11" t="s">
        <v>79</v>
      </c>
      <c r="L11" t="s">
        <v>93</v>
      </c>
      <c r="M11" t="s">
        <v>92</v>
      </c>
      <c r="N11" t="str">
        <f t="shared" si="0"/>
        <v>[Protecting Against National Security Threats to the Communications Supply Chain Through the Equipment Authorization Program](https://www.federalregister.gov/documents/2025/11/25/2025-21001/protecting-against-national-security-threats-to-the-communications-supply-chain-through-the)</v>
      </c>
    </row>
    <row r="12" spans="1:14" x14ac:dyDescent="0.45">
      <c r="A12" t="s">
        <v>70</v>
      </c>
      <c r="B12" t="s">
        <v>74</v>
      </c>
      <c r="C12" t="s">
        <v>23</v>
      </c>
      <c r="D12" t="s">
        <v>82</v>
      </c>
      <c r="E12" t="s">
        <v>81</v>
      </c>
      <c r="F12" t="s">
        <v>80</v>
      </c>
      <c r="G12" t="s">
        <v>121</v>
      </c>
      <c r="H12" s="2">
        <v>46013</v>
      </c>
      <c r="I12" t="s">
        <v>83</v>
      </c>
      <c r="J12" t="s">
        <v>84</v>
      </c>
      <c r="K12" t="s">
        <v>79</v>
      </c>
      <c r="L12" t="s">
        <v>82</v>
      </c>
      <c r="M12" t="s">
        <v>98</v>
      </c>
      <c r="N12" t="str">
        <f t="shared" si="0"/>
        <v>[Covered List addition - foreign-produced UAS and components](https://www.fcc.gov/covered-list-faqs-uas-and-uas-critical-components)</v>
      </c>
    </row>
    <row r="13" spans="1:14" x14ac:dyDescent="0.45">
      <c r="A13" t="s">
        <v>71</v>
      </c>
      <c r="B13" t="s">
        <v>74</v>
      </c>
      <c r="C13" t="s">
        <v>23</v>
      </c>
      <c r="D13" t="s">
        <v>85</v>
      </c>
      <c r="E13" t="s">
        <v>86</v>
      </c>
      <c r="F13" t="s">
        <v>80</v>
      </c>
      <c r="G13" t="s">
        <v>122</v>
      </c>
      <c r="H13" s="2">
        <v>46237</v>
      </c>
      <c r="I13" t="s">
        <v>127</v>
      </c>
      <c r="J13" t="s">
        <v>88</v>
      </c>
      <c r="K13" t="s">
        <v>79</v>
      </c>
      <c r="L13" t="s">
        <v>85</v>
      </c>
      <c r="M13" t="s">
        <v>99</v>
      </c>
      <c r="N13" t="str">
        <f t="shared" si="0"/>
        <v>[Prohibiting Importation and Marketing of Military-Grade Foreign UAS](https://www.federalregister.gov/documents/2026/08/03/2026-15659/seeking-comment-on-prohibiting-the-importation-and-marketing-of-certain-foreign-produced)</v>
      </c>
    </row>
    <row r="14" spans="1:14" x14ac:dyDescent="0.45">
      <c r="A14" t="s">
        <v>90</v>
      </c>
      <c r="B14" t="s">
        <v>74</v>
      </c>
      <c r="C14" t="s">
        <v>23</v>
      </c>
      <c r="D14" t="s">
        <v>87</v>
      </c>
      <c r="E14" t="s">
        <v>112</v>
      </c>
      <c r="F14" t="s">
        <v>80</v>
      </c>
      <c r="G14" t="s">
        <v>122</v>
      </c>
      <c r="H14" s="2">
        <v>46258</v>
      </c>
      <c r="I14" t="s">
        <v>128</v>
      </c>
      <c r="J14" t="s">
        <v>89</v>
      </c>
      <c r="K14" t="s">
        <v>79</v>
      </c>
      <c r="L14" t="s">
        <v>87</v>
      </c>
      <c r="M14" t="s">
        <v>100</v>
      </c>
      <c r="N14" t="str">
        <f t="shared" si="0"/>
        <v>[Prohibiting Importation and Marketing of Sec. 1709 Equipment (Anzu)](https://www.federalregister.gov/documents/2026/08/24/2026-17193/comment-sought-on-prohibiting-the-importation-and-marketing-of-certain-covered-uas-and-uas-critical)</v>
      </c>
    </row>
    <row r="15" spans="1:14" x14ac:dyDescent="0.45">
      <c r="A15" t="s">
        <v>72</v>
      </c>
      <c r="B15" t="s">
        <v>101</v>
      </c>
      <c r="C15" t="s">
        <v>22</v>
      </c>
      <c r="D15" t="s">
        <v>102</v>
      </c>
      <c r="E15" t="s">
        <v>104</v>
      </c>
      <c r="F15" t="s">
        <v>107</v>
      </c>
      <c r="G15" t="s">
        <v>124</v>
      </c>
      <c r="H15" s="2">
        <v>46230</v>
      </c>
      <c r="I15" t="s">
        <v>125</v>
      </c>
      <c r="J15" t="s">
        <v>108</v>
      </c>
      <c r="K15" t="s">
        <v>63</v>
      </c>
      <c r="L15" t="s">
        <v>102</v>
      </c>
      <c r="M15" t="s">
        <v>110</v>
      </c>
      <c r="N15" t="str">
        <f t="shared" si="0"/>
        <v>[National Defense Authorization Act FY2027 (Senate)](https://www.congress.gov/bill/119th-congress/senate-bill/4784?hl=S.4784&amp;s=2&amp;r=1)</v>
      </c>
    </row>
    <row r="16" spans="1:14" x14ac:dyDescent="0.45">
      <c r="A16" t="s">
        <v>73</v>
      </c>
      <c r="B16" t="s">
        <v>101</v>
      </c>
      <c r="C16" t="s">
        <v>22</v>
      </c>
      <c r="D16" t="s">
        <v>103</v>
      </c>
      <c r="E16" t="s">
        <v>105</v>
      </c>
      <c r="F16" t="s">
        <v>106</v>
      </c>
      <c r="G16" t="s">
        <v>123</v>
      </c>
      <c r="H16" s="2">
        <v>46225</v>
      </c>
      <c r="I16" t="s">
        <v>126</v>
      </c>
      <c r="J16" t="s">
        <v>109</v>
      </c>
      <c r="K16" t="s">
        <v>63</v>
      </c>
      <c r="L16" t="s">
        <v>103</v>
      </c>
      <c r="M16" t="s">
        <v>111</v>
      </c>
      <c r="N16" t="str">
        <f t="shared" si="0"/>
        <v>[National Defense Authorization Act FY2027 (House)](https://www.congress.gov/bill/119th-congress/house-bill/8800?hl=H.R.8800&amp;s=3&amp;r=1)</v>
      </c>
    </row>
  </sheetData>
  <sortState xmlns:xlrd2="http://schemas.microsoft.com/office/spreadsheetml/2017/richdata2" ref="A2:N19">
    <sortCondition ref="A2:A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BDD-75E1-4142-B0CB-4EEF215EA228}">
  <dimension ref="A1:N5"/>
  <sheetViews>
    <sheetView workbookViewId="0">
      <selection activeCell="J5" sqref="J5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  <c r="K1" t="s">
        <v>7</v>
      </c>
      <c r="L1" t="s">
        <v>64</v>
      </c>
      <c r="M1" t="s">
        <v>8</v>
      </c>
      <c r="N1" t="s">
        <v>120</v>
      </c>
    </row>
    <row r="2" spans="1:14" x14ac:dyDescent="0.45">
      <c r="A2" t="s">
        <v>9</v>
      </c>
      <c r="B2" t="s">
        <v>10</v>
      </c>
      <c r="C2" t="s">
        <v>22</v>
      </c>
      <c r="D2" t="s">
        <v>15</v>
      </c>
      <c r="E2" s="1" t="s">
        <v>116</v>
      </c>
      <c r="F2" t="s">
        <v>24</v>
      </c>
      <c r="G2" t="s">
        <v>27</v>
      </c>
      <c r="H2" s="2">
        <v>46363</v>
      </c>
      <c r="I2" t="s">
        <v>31</v>
      </c>
      <c r="J2" t="s">
        <v>117</v>
      </c>
      <c r="K2" t="s">
        <v>37</v>
      </c>
      <c r="L2" t="s">
        <v>14</v>
      </c>
      <c r="M2" t="s">
        <v>115</v>
      </c>
      <c r="N2" t="str">
        <f t="shared" ref="N2:N5" si="0">IF(M2&lt;&gt;"","["&amp;L2&amp;"]("&amp;M2&amp;")",L2)</f>
        <v>[FAA Reauthorization Act of 2024](https://www.congress.gov/bill/118th-congress/house-bill/3935?hl=118PL63&amp;s=5&amp;r=1)</v>
      </c>
    </row>
    <row r="3" spans="1:14" x14ac:dyDescent="0.45">
      <c r="A3" t="s">
        <v>11</v>
      </c>
      <c r="B3" t="s">
        <v>10</v>
      </c>
      <c r="C3" t="s">
        <v>22</v>
      </c>
      <c r="D3" t="s">
        <v>16</v>
      </c>
      <c r="E3" t="s">
        <v>17</v>
      </c>
      <c r="F3" t="s">
        <v>25</v>
      </c>
      <c r="G3" t="s">
        <v>28</v>
      </c>
      <c r="H3" s="2">
        <v>45814</v>
      </c>
      <c r="I3" t="s">
        <v>32</v>
      </c>
      <c r="J3" t="s">
        <v>35</v>
      </c>
      <c r="K3" t="s">
        <v>37</v>
      </c>
      <c r="L3" t="s">
        <v>17</v>
      </c>
      <c r="M3" t="s">
        <v>38</v>
      </c>
      <c r="N3" t="str">
        <f t="shared" si="0"/>
        <v>[Executive Order 14307](https://www.federalregister.gov/documents/2025/06/11/2025-10814/unleashing-american-drone-dominance)</v>
      </c>
    </row>
    <row r="4" spans="1:14" x14ac:dyDescent="0.45">
      <c r="A4" t="s">
        <v>12</v>
      </c>
      <c r="B4" t="s">
        <v>10</v>
      </c>
      <c r="C4" t="s">
        <v>23</v>
      </c>
      <c r="D4" t="s">
        <v>18</v>
      </c>
      <c r="E4" t="s">
        <v>19</v>
      </c>
      <c r="F4" t="s">
        <v>26</v>
      </c>
      <c r="G4" t="s">
        <v>29</v>
      </c>
      <c r="H4" s="2">
        <v>45876</v>
      </c>
      <c r="I4" t="s">
        <v>33</v>
      </c>
      <c r="J4" t="s">
        <v>34</v>
      </c>
      <c r="K4" t="s">
        <v>37</v>
      </c>
      <c r="L4" t="s">
        <v>18</v>
      </c>
      <c r="M4" t="s">
        <v>39</v>
      </c>
      <c r="N4" t="str">
        <f t="shared" si="0"/>
        <v>[Normalizing UAS Beyond Visual Line of Sight Operations](https://www.federalregister.gov/documents/2025/08/07/2025-14992/normalizing-unmanned-aircraft-systems-beyond-visual-line-of-sight-operations)</v>
      </c>
    </row>
    <row r="5" spans="1:14" x14ac:dyDescent="0.45">
      <c r="A5" t="s">
        <v>13</v>
      </c>
      <c r="B5" t="s">
        <v>10</v>
      </c>
      <c r="C5" t="s">
        <v>23</v>
      </c>
      <c r="D5" t="s">
        <v>20</v>
      </c>
      <c r="E5" t="s">
        <v>21</v>
      </c>
      <c r="F5" t="s">
        <v>26</v>
      </c>
      <c r="G5" t="s">
        <v>30</v>
      </c>
      <c r="H5" s="2">
        <v>46204</v>
      </c>
      <c r="I5" t="s">
        <v>118</v>
      </c>
      <c r="J5" t="s">
        <v>36</v>
      </c>
      <c r="K5" t="s">
        <v>37</v>
      </c>
      <c r="L5" t="s">
        <v>41</v>
      </c>
      <c r="M5" t="s">
        <v>40</v>
      </c>
      <c r="N5" t="str">
        <f t="shared" si="0"/>
        <v>[Part 108 Rule Status](https://www.reginfo.gov/public/do/eAgendaViewRule?pubId=202510&amp;RIN=2120-AL82)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C64E-C460-45AA-80BC-946E44365274}">
  <dimension ref="A1:N5"/>
  <sheetViews>
    <sheetView workbookViewId="0">
      <selection activeCell="B2" sqref="B2"/>
    </sheetView>
  </sheetViews>
  <sheetFormatPr defaultRowHeight="14.25" x14ac:dyDescent="0.45"/>
  <cols>
    <col min="8" max="8" width="9.92968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  <c r="K1" t="s">
        <v>7</v>
      </c>
      <c r="L1" t="s">
        <v>64</v>
      </c>
      <c r="M1" t="s">
        <v>8</v>
      </c>
      <c r="N1" t="s">
        <v>120</v>
      </c>
    </row>
    <row r="2" spans="1:14" x14ac:dyDescent="0.45">
      <c r="A2" t="s">
        <v>42</v>
      </c>
      <c r="B2" t="s">
        <v>46</v>
      </c>
      <c r="C2" t="s">
        <v>22</v>
      </c>
      <c r="D2" t="s">
        <v>48</v>
      </c>
      <c r="E2" t="s">
        <v>52</v>
      </c>
      <c r="F2" t="s">
        <v>24</v>
      </c>
      <c r="G2" t="s">
        <v>27</v>
      </c>
      <c r="H2" s="2">
        <v>45282</v>
      </c>
      <c r="I2" t="s">
        <v>27</v>
      </c>
      <c r="J2" t="s">
        <v>60</v>
      </c>
      <c r="K2" t="s">
        <v>63</v>
      </c>
      <c r="L2" t="s">
        <v>48</v>
      </c>
      <c r="M2" t="s">
        <v>65</v>
      </c>
      <c r="N2" t="str">
        <f t="shared" ref="N2:N5" si="0">IF(M2&lt;&gt;"","["&amp;L2&amp;"]("&amp;M2&amp;")",L2)</f>
        <v>[American Security Drone Act of 2023](https://www.congress.gov/bill/118th-congress/senate-bill/473?hl=American+Security+Drone+Act&amp;s=3&amp;r=2)</v>
      </c>
    </row>
    <row r="3" spans="1:14" x14ac:dyDescent="0.45">
      <c r="A3" t="s">
        <v>43</v>
      </c>
      <c r="B3" t="s">
        <v>46</v>
      </c>
      <c r="C3" t="s">
        <v>23</v>
      </c>
      <c r="D3" t="s">
        <v>49</v>
      </c>
      <c r="E3" t="s">
        <v>53</v>
      </c>
      <c r="F3" t="s">
        <v>56</v>
      </c>
      <c r="G3" t="s">
        <v>58</v>
      </c>
      <c r="H3" s="2">
        <v>45608</v>
      </c>
      <c r="I3" t="s">
        <v>59</v>
      </c>
      <c r="J3" t="s">
        <v>61</v>
      </c>
      <c r="K3" t="s">
        <v>63</v>
      </c>
      <c r="L3" t="s">
        <v>49</v>
      </c>
      <c r="M3" t="s">
        <v>114</v>
      </c>
      <c r="N3" t="str">
        <f t="shared" si="0"/>
        <v>[Prohibition on UAS From Covered Foreign Entities](https://www.federalregister.gov/documents/2024/11/12/2024-26061/federal-acquisition-regulation-prohibition-on-unmanned-aircraft-systems-from-covered-foreign)</v>
      </c>
    </row>
    <row r="4" spans="1:14" x14ac:dyDescent="0.45">
      <c r="A4" t="s">
        <v>44</v>
      </c>
      <c r="B4" t="s">
        <v>46</v>
      </c>
      <c r="C4" t="s">
        <v>23</v>
      </c>
      <c r="D4" t="s">
        <v>50</v>
      </c>
      <c r="E4" t="s">
        <v>54</v>
      </c>
      <c r="F4" t="s">
        <v>56</v>
      </c>
      <c r="G4" t="s">
        <v>30</v>
      </c>
      <c r="H4" s="2">
        <v>45656</v>
      </c>
      <c r="I4" t="s">
        <v>78</v>
      </c>
      <c r="J4" t="s">
        <v>62</v>
      </c>
      <c r="K4" t="s">
        <v>63</v>
      </c>
      <c r="L4" t="s">
        <v>50</v>
      </c>
      <c r="M4" t="s">
        <v>67</v>
      </c>
      <c r="N4" t="str">
        <f t="shared" si="0"/>
        <v>[FAR final rule](https://www.federalregister.gov/documents/search?conditions%5Bsearch_type_id%5D=3&amp;conditions%5Bterm%5D=9000-AO70)</v>
      </c>
    </row>
    <row r="5" spans="1:14" x14ac:dyDescent="0.45">
      <c r="A5" t="s">
        <v>45</v>
      </c>
      <c r="B5" t="s">
        <v>46</v>
      </c>
      <c r="C5" t="s">
        <v>47</v>
      </c>
      <c r="D5" t="s">
        <v>51</v>
      </c>
      <c r="E5" t="s">
        <v>55</v>
      </c>
      <c r="F5" t="s">
        <v>57</v>
      </c>
      <c r="G5" t="s">
        <v>129</v>
      </c>
      <c r="H5" s="2">
        <v>47109</v>
      </c>
      <c r="I5" t="s">
        <v>77</v>
      </c>
      <c r="J5" t="s">
        <v>119</v>
      </c>
      <c r="K5" t="s">
        <v>63</v>
      </c>
      <c r="L5" t="s">
        <v>51</v>
      </c>
      <c r="M5" t="s">
        <v>66</v>
      </c>
      <c r="N5" t="str">
        <f t="shared" si="0"/>
        <v>[Security Prohibitions and Exclusions](https://www.ecfr.gov/current/title-48/chapter-1/subchapter-H/part-52/subpart-52.2/section-52.240-1)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E1DF-08B7-4995-91D5-8FF5705FCD6A}">
  <dimension ref="A1:N6"/>
  <sheetViews>
    <sheetView workbookViewId="0">
      <selection activeCell="J4" sqref="J4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  <c r="K1" t="s">
        <v>7</v>
      </c>
      <c r="L1" t="s">
        <v>64</v>
      </c>
      <c r="M1" t="s">
        <v>8</v>
      </c>
      <c r="N1" t="s">
        <v>120</v>
      </c>
    </row>
    <row r="2" spans="1:14" x14ac:dyDescent="0.45">
      <c r="A2" t="s">
        <v>68</v>
      </c>
      <c r="B2" t="s">
        <v>74</v>
      </c>
      <c r="C2" t="s">
        <v>22</v>
      </c>
      <c r="D2" t="s">
        <v>75</v>
      </c>
      <c r="E2" t="s">
        <v>76</v>
      </c>
      <c r="F2" t="s">
        <v>24</v>
      </c>
      <c r="G2" t="s">
        <v>27</v>
      </c>
      <c r="H2" s="2">
        <v>45649</v>
      </c>
      <c r="I2" t="s">
        <v>96</v>
      </c>
      <c r="J2" t="s">
        <v>113</v>
      </c>
      <c r="K2" t="s">
        <v>79</v>
      </c>
      <c r="L2" t="s">
        <v>75</v>
      </c>
      <c r="M2" t="s">
        <v>97</v>
      </c>
      <c r="N2" t="str">
        <f t="shared" ref="N2:N6" si="0">IF(M2&lt;&gt;"","["&amp;L2&amp;"]("&amp;M2&amp;")",L2)</f>
        <v>[NDAA FY2025 sec. 1709](https://www.congress.gov/bill/118th-congress/house-bill/5009?hl=Servicemember+Quality+of+Life+Improvement+and+National+Defense+Authorization+Act+for+Fiscal+Year+2025&amp;s=1&amp;r=5)</v>
      </c>
    </row>
    <row r="3" spans="1:14" x14ac:dyDescent="0.45">
      <c r="A3" t="s">
        <v>69</v>
      </c>
      <c r="B3" t="s">
        <v>74</v>
      </c>
      <c r="C3" t="s">
        <v>23</v>
      </c>
      <c r="D3" t="s">
        <v>93</v>
      </c>
      <c r="E3" t="s">
        <v>91</v>
      </c>
      <c r="F3" t="s">
        <v>80</v>
      </c>
      <c r="G3" t="s">
        <v>94</v>
      </c>
      <c r="H3" s="2">
        <v>46017</v>
      </c>
      <c r="I3" t="s">
        <v>59</v>
      </c>
      <c r="J3" t="s">
        <v>95</v>
      </c>
      <c r="K3" t="s">
        <v>79</v>
      </c>
      <c r="L3" t="s">
        <v>93</v>
      </c>
      <c r="M3" t="s">
        <v>92</v>
      </c>
      <c r="N3" t="str">
        <f t="shared" si="0"/>
        <v>[Protecting Against National Security Threats to the Communications Supply Chain Through the Equipment Authorization Program](https://www.federalregister.gov/documents/2025/11/25/2025-21001/protecting-against-national-security-threats-to-the-communications-supply-chain-through-the)</v>
      </c>
    </row>
    <row r="4" spans="1:14" x14ac:dyDescent="0.45">
      <c r="A4" t="s">
        <v>70</v>
      </c>
      <c r="B4" t="s">
        <v>74</v>
      </c>
      <c r="C4" t="s">
        <v>23</v>
      </c>
      <c r="D4" t="s">
        <v>82</v>
      </c>
      <c r="E4" t="s">
        <v>81</v>
      </c>
      <c r="F4" t="s">
        <v>80</v>
      </c>
      <c r="G4" t="s">
        <v>121</v>
      </c>
      <c r="H4" s="2">
        <v>46013</v>
      </c>
      <c r="I4" t="s">
        <v>83</v>
      </c>
      <c r="J4" t="s">
        <v>84</v>
      </c>
      <c r="K4" t="s">
        <v>79</v>
      </c>
      <c r="L4" t="s">
        <v>82</v>
      </c>
      <c r="M4" t="s">
        <v>98</v>
      </c>
      <c r="N4" t="str">
        <f t="shared" si="0"/>
        <v>[Covered List addition - foreign-produced UAS and components](https://www.fcc.gov/covered-list-faqs-uas-and-uas-critical-components)</v>
      </c>
    </row>
    <row r="5" spans="1:14" x14ac:dyDescent="0.45">
      <c r="A5" t="s">
        <v>71</v>
      </c>
      <c r="B5" t="s">
        <v>74</v>
      </c>
      <c r="C5" t="s">
        <v>23</v>
      </c>
      <c r="D5" t="s">
        <v>85</v>
      </c>
      <c r="E5" t="s">
        <v>86</v>
      </c>
      <c r="F5" t="s">
        <v>80</v>
      </c>
      <c r="G5" t="s">
        <v>122</v>
      </c>
      <c r="H5" s="2">
        <v>46237</v>
      </c>
      <c r="I5" t="s">
        <v>127</v>
      </c>
      <c r="J5" t="s">
        <v>88</v>
      </c>
      <c r="K5" t="s">
        <v>79</v>
      </c>
      <c r="L5" t="s">
        <v>85</v>
      </c>
      <c r="M5" t="s">
        <v>99</v>
      </c>
      <c r="N5" t="str">
        <f t="shared" si="0"/>
        <v>[Prohibiting Importation and Marketing of Military-Grade Foreign UAS](https://www.federalregister.gov/documents/2026/08/03/2026-15659/seeking-comment-on-prohibiting-the-importation-and-marketing-of-certain-foreign-produced)</v>
      </c>
    </row>
    <row r="6" spans="1:14" x14ac:dyDescent="0.45">
      <c r="A6" t="s">
        <v>90</v>
      </c>
      <c r="B6" t="s">
        <v>74</v>
      </c>
      <c r="C6" t="s">
        <v>23</v>
      </c>
      <c r="D6" t="s">
        <v>87</v>
      </c>
      <c r="E6" t="s">
        <v>112</v>
      </c>
      <c r="F6" t="s">
        <v>80</v>
      </c>
      <c r="G6" t="s">
        <v>122</v>
      </c>
      <c r="H6" s="2">
        <v>46258</v>
      </c>
      <c r="I6" t="s">
        <v>128</v>
      </c>
      <c r="J6" t="s">
        <v>89</v>
      </c>
      <c r="K6" t="s">
        <v>79</v>
      </c>
      <c r="L6" t="s">
        <v>87</v>
      </c>
      <c r="M6" t="s">
        <v>100</v>
      </c>
      <c r="N6" t="str">
        <f t="shared" si="0"/>
        <v>[Prohibiting Importation and Marketing of Sec. 1709 Equipment (Anzu)](https://www.federalregister.gov/documents/2026/08/24/2026-17193/comment-sought-on-prohibiting-the-importation-and-marketing-of-certain-covered-uas-and-uas-critical)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4182-3957-43B5-8963-7ED72B671A51}">
  <dimension ref="A1:N3"/>
  <sheetViews>
    <sheetView workbookViewId="0">
      <selection activeCell="H9" sqref="H9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</v>
      </c>
      <c r="I1" t="s">
        <v>131</v>
      </c>
      <c r="J1" t="s">
        <v>132</v>
      </c>
      <c r="K1" t="s">
        <v>7</v>
      </c>
      <c r="L1" t="s">
        <v>64</v>
      </c>
      <c r="M1" t="s">
        <v>8</v>
      </c>
      <c r="N1" t="s">
        <v>120</v>
      </c>
    </row>
    <row r="2" spans="1:14" x14ac:dyDescent="0.45">
      <c r="A2" t="s">
        <v>72</v>
      </c>
      <c r="B2" t="s">
        <v>101</v>
      </c>
      <c r="C2" t="s">
        <v>22</v>
      </c>
      <c r="D2" t="s">
        <v>102</v>
      </c>
      <c r="E2" t="s">
        <v>104</v>
      </c>
      <c r="F2" t="s">
        <v>107</v>
      </c>
      <c r="G2" t="s">
        <v>124</v>
      </c>
      <c r="H2" s="2">
        <v>46230</v>
      </c>
      <c r="I2" t="s">
        <v>125</v>
      </c>
      <c r="J2" t="s">
        <v>108</v>
      </c>
      <c r="K2" t="s">
        <v>63</v>
      </c>
      <c r="L2" t="s">
        <v>102</v>
      </c>
      <c r="M2" t="s">
        <v>110</v>
      </c>
      <c r="N2" t="str">
        <f t="shared" ref="N2:N3" si="0">IF(M2&lt;&gt;"","["&amp;L2&amp;"]("&amp;M2&amp;")",L2)</f>
        <v>[National Defense Authorization Act FY2027 (Senate)](https://www.congress.gov/bill/119th-congress/senate-bill/4784?hl=S.4784&amp;s=2&amp;r=1)</v>
      </c>
    </row>
    <row r="3" spans="1:14" x14ac:dyDescent="0.45">
      <c r="A3" t="s">
        <v>73</v>
      </c>
      <c r="B3" t="s">
        <v>101</v>
      </c>
      <c r="C3" t="s">
        <v>22</v>
      </c>
      <c r="D3" t="s">
        <v>103</v>
      </c>
      <c r="E3" t="s">
        <v>105</v>
      </c>
      <c r="F3" t="s">
        <v>106</v>
      </c>
      <c r="G3" t="s">
        <v>123</v>
      </c>
      <c r="H3" s="2">
        <v>46225</v>
      </c>
      <c r="I3" t="s">
        <v>126</v>
      </c>
      <c r="J3" t="s">
        <v>109</v>
      </c>
      <c r="K3" t="s">
        <v>63</v>
      </c>
      <c r="L3" t="s">
        <v>103</v>
      </c>
      <c r="M3" t="s">
        <v>111</v>
      </c>
      <c r="N3" t="str">
        <f t="shared" si="0"/>
        <v>[National Defense Authorization Act FY2027 (House)](https://www.congress.gov/bill/119th-congress/house-bill/8800?hl=H.R.8800&amp;s=3&amp;r=1)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Sheet</vt:lpstr>
      <vt:lpstr>BVLOS Sheet</vt:lpstr>
      <vt:lpstr>Federal restrictions</vt:lpstr>
      <vt:lpstr>Import Marketing</vt:lpstr>
      <vt:lpstr>NDAA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Simpson,WW (ug)</dc:creator>
  <cp:lastModifiedBy>Simpson,WW (ug)</cp:lastModifiedBy>
  <dcterms:created xsi:type="dcterms:W3CDTF">2026-08-29T20:51:49Z</dcterms:created>
  <dcterms:modified xsi:type="dcterms:W3CDTF">2026-09-08T09:31:25Z</dcterms:modified>
</cp:coreProperties>
</file>